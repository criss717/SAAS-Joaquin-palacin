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rchivos Cristian\prog\Gantt-project\"/>
    </mc:Choice>
  </mc:AlternateContent>
  <xr:revisionPtr revIDLastSave="0" documentId="13_ncr:1_{E31B739B-F1FE-4A47-AA3E-4293CED483AE}" xr6:coauthVersionLast="47" xr6:coauthVersionMax="47" xr10:uidLastSave="{00000000-0000-0000-0000-000000000000}"/>
  <bookViews>
    <workbookView xWindow="-120" yWindow="-120" windowWidth="29040" windowHeight="15840" xr2:uid="{27E04316-97EA-42E7-A617-05D842742A6A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5" i="1" l="1"/>
  <c r="D36" i="1"/>
  <c r="D32" i="1"/>
</calcChain>
</file>

<file path=xl/sharedStrings.xml><?xml version="1.0" encoding="utf-8"?>
<sst xmlns="http://schemas.openxmlformats.org/spreadsheetml/2006/main" count="266" uniqueCount="109">
  <si>
    <t>cantidad</t>
  </si>
  <si>
    <t>nombre</t>
  </si>
  <si>
    <t>pertenece a ensamble</t>
  </si>
  <si>
    <t>horas</t>
  </si>
  <si>
    <t>CONO BOWL</t>
  </si>
  <si>
    <t>CLINDRO BOWL</t>
  </si>
  <si>
    <t>CONO EJE SINFÍN</t>
  </si>
  <si>
    <t>EJE TRASERO SINFÍN</t>
  </si>
  <si>
    <t xml:space="preserve">CILINDRO SINFÍN </t>
  </si>
  <si>
    <t xml:space="preserve">CUBO </t>
  </si>
  <si>
    <t>FRONT WALL PLATE</t>
  </si>
  <si>
    <t>COVER OF FRONT WALL PLAE</t>
  </si>
  <si>
    <t>PITÓN DE ARRASTRE</t>
  </si>
  <si>
    <t>TAPA ROD 6024</t>
  </si>
  <si>
    <t>SOP RODAMIENTOS</t>
  </si>
  <si>
    <t>TAPA FRONTAL  SOP ROD DELANTERO</t>
  </si>
  <si>
    <t>TAPA FRONTAL  SOP ROD TRASERO</t>
  </si>
  <si>
    <t>TAPA POST  SOP ROD TRASERO</t>
  </si>
  <si>
    <t>EJE DENTADO DIN 5480</t>
  </si>
  <si>
    <t xml:space="preserve">ARANDELA SOP RETEN </t>
  </si>
  <si>
    <t>ENSAMBLE FEED SIDE</t>
  </si>
  <si>
    <t>CARA FRONTAL</t>
  </si>
  <si>
    <t xml:space="preserve">SUJECIÓN DERECHA </t>
  </si>
  <si>
    <t>SUJECIÓN IZQUIERDA</t>
  </si>
  <si>
    <t xml:space="preserve">ARO PLETINA </t>
  </si>
  <si>
    <t>FRONTAL TOLVA</t>
  </si>
  <si>
    <t>CILINDRO</t>
  </si>
  <si>
    <t>TAPA ENSAMBLE</t>
  </si>
  <si>
    <t xml:space="preserve">SOPORTE CARGA </t>
  </si>
  <si>
    <t>BRIDA REDUCTOR</t>
  </si>
  <si>
    <t>ANILLO BRIDA REDUCTOR</t>
  </si>
  <si>
    <t>ARO SUP. SUJ CARTIER</t>
  </si>
  <si>
    <t>SKIMMER HOUSING</t>
  </si>
  <si>
    <t>HUB FOR SCREW CONVEYOR</t>
  </si>
  <si>
    <t>SLEEVE ON SCREW</t>
  </si>
  <si>
    <t>SEALING RING OF FRONT WALL PLATE</t>
  </si>
  <si>
    <t>SEALING RING ACETAL LABERINTO</t>
  </si>
  <si>
    <t>ARANDELA SOP RODA</t>
  </si>
  <si>
    <t>CAÑA + CACHIRULO</t>
  </si>
  <si>
    <t>BRIDA TUB ALIMENTARIA</t>
  </si>
  <si>
    <t>BRIDA SUJ TREN DELANTERO</t>
  </si>
  <si>
    <t>ENSAMBLE BANCADA DECANTER</t>
  </si>
  <si>
    <t>BANDEJA SOPORTE MOTOR 30 KW</t>
  </si>
  <si>
    <t>BANDEJA SOPORTE MOTOR 75 KW</t>
  </si>
  <si>
    <t>PLACA FLOTANTE SOP. MOTOR 30KW</t>
  </si>
  <si>
    <t>PLACA FLOTANTE SOP. MOTOR 75KW</t>
  </si>
  <si>
    <t xml:space="preserve">PLACA SOP MOTOR 30 KW </t>
  </si>
  <si>
    <t xml:space="preserve">PLACA SOP MOTOR 75 KW </t>
  </si>
  <si>
    <t>PLACA SOP RODAMIENTOS</t>
  </si>
  <si>
    <t>SOPORTE CARGA BANCADA</t>
  </si>
  <si>
    <t xml:space="preserve">LATERALES BANCADA </t>
  </si>
  <si>
    <t xml:space="preserve">SOPORTE MOTORES BANCADA </t>
  </si>
  <si>
    <t>FRONTAL BANCADA</t>
  </si>
  <si>
    <t>NERVIO 1 BANCADA</t>
  </si>
  <si>
    <t>NERVIO 2 BANCADA</t>
  </si>
  <si>
    <t xml:space="preserve">PLETINA SOPORTE CAPOTA </t>
  </si>
  <si>
    <t>SILENT FLEX SANWICH 951216-45</t>
  </si>
  <si>
    <t>ENSAMBLE BASE BANCADA</t>
  </si>
  <si>
    <t>ESTRUCTURA BASE BANCADA</t>
  </si>
  <si>
    <t>PATAS BASE BANCADA</t>
  </si>
  <si>
    <t>TAPA BASE BANCADA</t>
  </si>
  <si>
    <t>REDUCTOR ZSSPN619 LX150-87</t>
  </si>
  <si>
    <t>MOTOR WEG 30 KW</t>
  </si>
  <si>
    <t xml:space="preserve">MOTOR WEG 75 KW </t>
  </si>
  <si>
    <t>ENSAMBLE EJE SIN FIN CON  PALAS + MECANIZADO</t>
  </si>
  <si>
    <t>BRIDA TOPE SEPARADOR SKIMMER</t>
  </si>
  <si>
    <t xml:space="preserve">TOBERA SINFÍN </t>
  </si>
  <si>
    <t>TOBERAS BOWL</t>
  </si>
  <si>
    <t xml:space="preserve">PALAS RECTAS </t>
  </si>
  <si>
    <t>PALAS CURVAS</t>
  </si>
  <si>
    <t>SECTOR PALA EJE TRASERO</t>
  </si>
  <si>
    <t>SECTOR PALA CONO 1</t>
  </si>
  <si>
    <t>SECTOR PALA CONO 2</t>
  </si>
  <si>
    <t>SECTOR PALA CONO 3</t>
  </si>
  <si>
    <t>SECTOR PALA CONO 4</t>
  </si>
  <si>
    <t>SECTOR PALA CONO 5</t>
  </si>
  <si>
    <t>SECTOR PALA CONO 6</t>
  </si>
  <si>
    <t>ENSAMBLE CAPOTA</t>
  </si>
  <si>
    <t>CAPOTA LARGA CHAPA METALICA</t>
  </si>
  <si>
    <t>CAPOTA CORTA CHAPA METALICA</t>
  </si>
  <si>
    <t>PLETINA SUJ CAPOTA</t>
  </si>
  <si>
    <t>FRONTAL CAPOTA LARGA</t>
  </si>
  <si>
    <t>PLETINA ESTABILIZADORA CAPOTA</t>
  </si>
  <si>
    <t xml:space="preserve">POSTERIOR CAPOTA LARGA </t>
  </si>
  <si>
    <t xml:space="preserve">FRONTAL CAPOTA CORTA </t>
  </si>
  <si>
    <t>POSTERIOR CAPOTA CORTA</t>
  </si>
  <si>
    <t>ENSAMBLE GUARDA MOTORES</t>
  </si>
  <si>
    <t>FRONTAL GUARDA MOTOR</t>
  </si>
  <si>
    <t>LATERAL GUARDA MOTOR</t>
  </si>
  <si>
    <t>CUBIERTA SUP</t>
  </si>
  <si>
    <t>FRONTAL GUARDA MOTOR PEQUEÑO</t>
  </si>
  <si>
    <t>LATERAL IZQ GUARDA MOTOR PEQUEÑO</t>
  </si>
  <si>
    <t>LATERAL DER GUARDA MOTOR PEQUEÑO</t>
  </si>
  <si>
    <t>FRONTAL GUARDA MOTOR GRANDE</t>
  </si>
  <si>
    <t>LATERAL DER GUARDA MOTOR GRANDE</t>
  </si>
  <si>
    <t>LATERAL IZQ GUARDA MOTOR GRANDE</t>
  </si>
  <si>
    <t>ENSAMBLE CAJON ORUJOS</t>
  </si>
  <si>
    <t>FRONTAL CAJON DE ORUJOS</t>
  </si>
  <si>
    <t xml:space="preserve">FRONTAL INTERMEDIO INFERIOR </t>
  </si>
  <si>
    <t>LATERAL INFERIOR</t>
  </si>
  <si>
    <t xml:space="preserve">FRONTAL SUP CAJÓN </t>
  </si>
  <si>
    <t>SUPERIOR INTERMEDIO 1</t>
  </si>
  <si>
    <t>POSTERIOR INFERIOR</t>
  </si>
  <si>
    <t>CAPOTA</t>
  </si>
  <si>
    <t>SIUPERIOR POSTERIOR</t>
  </si>
  <si>
    <t>PIPETA - BOMBA PITOT</t>
  </si>
  <si>
    <t>etapa inicial</t>
  </si>
  <si>
    <t>pedido externo</t>
  </si>
  <si>
    <t>fabricacion taller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</si>
</sst>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64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2" fontId="0" fillId="2" borderId="0" xfId="1" applyNumberFormat="1" applyFont="1" applyFill="1"/>
    <xf numFmtId="0" fontId="0" fillId="3" borderId="0" xfId="0" applyFill="1"/>
    <xf numFmtId="164" fontId="0" fillId="3" borderId="0" xfId="1" applyNumberFormat="1" applyFont="1" applyFill="1"/>
    <xf numFmtId="164" fontId="0" fillId="0" borderId="0" xfId="1" applyNumberFormat="1" applyFont="1" applyFill="1"/>
    <xf numFmtId="0" fontId="2" fillId="0" borderId="0" xfId="0" applyFont="1"/>
    <xf numFmtId="0" fontId="0" fillId="0" borderId="0" xfId="0" applyFill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5716-15DE-4CD7-857C-CE54B047E7DF}">
  <dimension ref="A1:E105"/>
  <sheetViews>
    <sheetView tabSelected="1" workbookViewId="0">
      <selection activeCell="B1" sqref="B1:B1048576"/>
    </sheetView>
  </sheetViews>
  <sheetFormatPr baseColWidth="10" defaultRowHeight="15" x14ac:dyDescent="0.25"/>
  <cols>
    <col min="2" max="2" width="46.140625" bestFit="1" customWidth="1"/>
    <col min="3" max="3" width="20.85546875" bestFit="1" customWidth="1"/>
    <col min="5" max="5" width="15.855468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10" t="s">
        <v>106</v>
      </c>
    </row>
    <row r="2" spans="1:5" x14ac:dyDescent="0.25">
      <c r="A2">
        <v>1</v>
      </c>
      <c r="B2" t="s">
        <v>4</v>
      </c>
      <c r="E2" t="s">
        <v>107</v>
      </c>
    </row>
    <row r="3" spans="1:5" x14ac:dyDescent="0.25">
      <c r="A3">
        <v>1</v>
      </c>
      <c r="B3" t="s">
        <v>5</v>
      </c>
      <c r="E3" t="s">
        <v>107</v>
      </c>
    </row>
    <row r="4" spans="1:5" x14ac:dyDescent="0.25">
      <c r="A4">
        <v>1</v>
      </c>
      <c r="B4" t="s">
        <v>6</v>
      </c>
      <c r="E4" t="s">
        <v>107</v>
      </c>
    </row>
    <row r="5" spans="1:5" x14ac:dyDescent="0.25">
      <c r="A5">
        <v>1</v>
      </c>
      <c r="B5" t="s">
        <v>7</v>
      </c>
      <c r="E5" t="s">
        <v>107</v>
      </c>
    </row>
    <row r="6" spans="1:5" x14ac:dyDescent="0.25">
      <c r="A6">
        <v>1</v>
      </c>
      <c r="B6" t="s">
        <v>8</v>
      </c>
      <c r="E6" t="s">
        <v>107</v>
      </c>
    </row>
    <row r="7" spans="1:5" x14ac:dyDescent="0.25">
      <c r="A7">
        <v>1</v>
      </c>
      <c r="B7" t="s">
        <v>9</v>
      </c>
      <c r="E7" t="s">
        <v>107</v>
      </c>
    </row>
    <row r="8" spans="1:5" x14ac:dyDescent="0.25">
      <c r="A8">
        <v>1</v>
      </c>
      <c r="B8" t="s">
        <v>10</v>
      </c>
      <c r="E8" t="s">
        <v>107</v>
      </c>
    </row>
    <row r="9" spans="1:5" x14ac:dyDescent="0.25">
      <c r="A9">
        <v>1</v>
      </c>
      <c r="B9" t="s">
        <v>11</v>
      </c>
      <c r="D9" s="3">
        <v>24</v>
      </c>
      <c r="E9" t="s">
        <v>108</v>
      </c>
    </row>
    <row r="10" spans="1:5" x14ac:dyDescent="0.25">
      <c r="A10">
        <v>1</v>
      </c>
      <c r="B10" t="s">
        <v>12</v>
      </c>
      <c r="D10" s="3"/>
      <c r="E10" t="s">
        <v>107</v>
      </c>
    </row>
    <row r="11" spans="1:5" x14ac:dyDescent="0.25">
      <c r="A11">
        <v>1</v>
      </c>
      <c r="B11" t="s">
        <v>13</v>
      </c>
      <c r="D11" s="3">
        <v>2.5</v>
      </c>
      <c r="E11" t="s">
        <v>108</v>
      </c>
    </row>
    <row r="12" spans="1:5" x14ac:dyDescent="0.25">
      <c r="A12">
        <v>2</v>
      </c>
      <c r="B12" t="s">
        <v>14</v>
      </c>
      <c r="D12" s="3">
        <v>18</v>
      </c>
      <c r="E12" t="s">
        <v>108</v>
      </c>
    </row>
    <row r="13" spans="1:5" x14ac:dyDescent="0.25">
      <c r="A13">
        <v>1</v>
      </c>
      <c r="B13" t="s">
        <v>15</v>
      </c>
      <c r="D13" s="3">
        <v>4.25</v>
      </c>
      <c r="E13" t="s">
        <v>108</v>
      </c>
    </row>
    <row r="14" spans="1:5" x14ac:dyDescent="0.25">
      <c r="A14">
        <v>1</v>
      </c>
      <c r="B14" t="s">
        <v>16</v>
      </c>
      <c r="D14" s="3">
        <v>2</v>
      </c>
      <c r="E14" t="s">
        <v>108</v>
      </c>
    </row>
    <row r="15" spans="1:5" x14ac:dyDescent="0.25">
      <c r="A15">
        <v>2</v>
      </c>
      <c r="B15" t="s">
        <v>17</v>
      </c>
      <c r="D15" s="3">
        <v>1</v>
      </c>
      <c r="E15" t="s">
        <v>108</v>
      </c>
    </row>
    <row r="16" spans="1:5" x14ac:dyDescent="0.25">
      <c r="A16">
        <v>1</v>
      </c>
      <c r="B16" t="s">
        <v>18</v>
      </c>
      <c r="D16" s="3"/>
      <c r="E16" t="s">
        <v>107</v>
      </c>
    </row>
    <row r="17" spans="1:5" x14ac:dyDescent="0.25">
      <c r="A17">
        <v>1</v>
      </c>
      <c r="B17" t="s">
        <v>19</v>
      </c>
      <c r="D17" s="3">
        <v>1</v>
      </c>
      <c r="E17" t="s">
        <v>107</v>
      </c>
    </row>
    <row r="18" spans="1:5" x14ac:dyDescent="0.25">
      <c r="A18" s="4">
        <v>1</v>
      </c>
      <c r="B18" s="4" t="s">
        <v>20</v>
      </c>
      <c r="D18" s="5">
        <v>8</v>
      </c>
      <c r="E18" t="s">
        <v>107</v>
      </c>
    </row>
    <row r="19" spans="1:5" x14ac:dyDescent="0.25">
      <c r="A19" s="4">
        <v>1</v>
      </c>
      <c r="B19" s="4" t="s">
        <v>21</v>
      </c>
      <c r="C19" t="s">
        <v>20</v>
      </c>
      <c r="D19" s="5">
        <v>3</v>
      </c>
      <c r="E19" t="s">
        <v>107</v>
      </c>
    </row>
    <row r="20" spans="1:5" x14ac:dyDescent="0.25">
      <c r="A20" s="4">
        <v>1</v>
      </c>
      <c r="B20" s="4" t="s">
        <v>22</v>
      </c>
      <c r="C20" t="s">
        <v>20</v>
      </c>
      <c r="D20" s="5"/>
      <c r="E20" t="s">
        <v>107</v>
      </c>
    </row>
    <row r="21" spans="1:5" x14ac:dyDescent="0.25">
      <c r="A21" s="4">
        <v>1</v>
      </c>
      <c r="B21" s="4" t="s">
        <v>23</v>
      </c>
      <c r="C21" t="s">
        <v>20</v>
      </c>
      <c r="D21" s="5"/>
      <c r="E21" t="s">
        <v>107</v>
      </c>
    </row>
    <row r="22" spans="1:5" x14ac:dyDescent="0.25">
      <c r="A22" s="4">
        <v>1</v>
      </c>
      <c r="B22" s="4" t="s">
        <v>24</v>
      </c>
      <c r="C22" t="s">
        <v>20</v>
      </c>
      <c r="D22" s="5">
        <v>1</v>
      </c>
      <c r="E22" t="s">
        <v>107</v>
      </c>
    </row>
    <row r="23" spans="1:5" x14ac:dyDescent="0.25">
      <c r="A23" s="4">
        <v>2</v>
      </c>
      <c r="B23" s="4" t="s">
        <v>25</v>
      </c>
      <c r="C23" t="s">
        <v>20</v>
      </c>
      <c r="D23" s="5"/>
      <c r="E23" t="s">
        <v>107</v>
      </c>
    </row>
    <row r="24" spans="1:5" x14ac:dyDescent="0.25">
      <c r="A24" s="4">
        <v>1</v>
      </c>
      <c r="B24" s="4" t="s">
        <v>26</v>
      </c>
      <c r="C24" t="s">
        <v>20</v>
      </c>
      <c r="D24" s="5"/>
      <c r="E24" t="s">
        <v>107</v>
      </c>
    </row>
    <row r="25" spans="1:5" x14ac:dyDescent="0.25">
      <c r="A25" s="4">
        <v>1</v>
      </c>
      <c r="B25" s="4" t="s">
        <v>27</v>
      </c>
      <c r="C25" t="s">
        <v>20</v>
      </c>
      <c r="D25" s="5">
        <v>0.5</v>
      </c>
      <c r="E25" t="s">
        <v>107</v>
      </c>
    </row>
    <row r="26" spans="1:5" x14ac:dyDescent="0.25">
      <c r="A26" s="4">
        <v>4</v>
      </c>
      <c r="B26" s="4" t="s">
        <v>28</v>
      </c>
      <c r="C26" t="s">
        <v>20</v>
      </c>
      <c r="D26" s="5"/>
      <c r="E26" t="s">
        <v>107</v>
      </c>
    </row>
    <row r="27" spans="1:5" x14ac:dyDescent="0.25">
      <c r="A27">
        <v>1</v>
      </c>
      <c r="B27" t="s">
        <v>29</v>
      </c>
      <c r="D27" s="3"/>
      <c r="E27" t="s">
        <v>107</v>
      </c>
    </row>
    <row r="28" spans="1:5" x14ac:dyDescent="0.25">
      <c r="A28">
        <v>1</v>
      </c>
      <c r="B28" t="s">
        <v>30</v>
      </c>
      <c r="D28" s="3">
        <v>1</v>
      </c>
      <c r="E28" t="s">
        <v>108</v>
      </c>
    </row>
    <row r="29" spans="1:5" x14ac:dyDescent="0.25">
      <c r="A29">
        <v>1</v>
      </c>
      <c r="B29" t="s">
        <v>31</v>
      </c>
      <c r="D29" s="3">
        <v>1</v>
      </c>
      <c r="E29" t="s">
        <v>108</v>
      </c>
    </row>
    <row r="30" spans="1:5" x14ac:dyDescent="0.25">
      <c r="A30">
        <v>1</v>
      </c>
      <c r="B30" t="s">
        <v>31</v>
      </c>
      <c r="D30" s="3">
        <v>1</v>
      </c>
      <c r="E30" t="s">
        <v>108</v>
      </c>
    </row>
    <row r="31" spans="1:5" x14ac:dyDescent="0.25">
      <c r="A31">
        <v>1</v>
      </c>
      <c r="B31" t="s">
        <v>32</v>
      </c>
      <c r="D31" s="3"/>
      <c r="E31" t="s">
        <v>107</v>
      </c>
    </row>
    <row r="32" spans="1:5" x14ac:dyDescent="0.25">
      <c r="A32">
        <v>1</v>
      </c>
      <c r="B32" t="s">
        <v>33</v>
      </c>
      <c r="D32" s="3">
        <f>1+8</f>
        <v>9</v>
      </c>
      <c r="E32" t="s">
        <v>108</v>
      </c>
    </row>
    <row r="33" spans="1:5" x14ac:dyDescent="0.25">
      <c r="A33">
        <v>1</v>
      </c>
      <c r="B33" t="s">
        <v>34</v>
      </c>
      <c r="D33" s="3">
        <v>0.5</v>
      </c>
      <c r="E33" t="s">
        <v>108</v>
      </c>
    </row>
    <row r="34" spans="1:5" x14ac:dyDescent="0.25">
      <c r="A34">
        <v>1</v>
      </c>
      <c r="B34" t="s">
        <v>35</v>
      </c>
      <c r="D34" s="3"/>
      <c r="E34" t="s">
        <v>107</v>
      </c>
    </row>
    <row r="35" spans="1:5" x14ac:dyDescent="0.25">
      <c r="A35">
        <v>1</v>
      </c>
      <c r="B35" t="s">
        <v>36</v>
      </c>
      <c r="D35" s="3">
        <v>1.5</v>
      </c>
      <c r="E35" t="s">
        <v>108</v>
      </c>
    </row>
    <row r="36" spans="1:5" x14ac:dyDescent="0.25">
      <c r="A36">
        <v>1</v>
      </c>
      <c r="B36" t="s">
        <v>37</v>
      </c>
      <c r="D36" s="3">
        <f>3.5+0.5</f>
        <v>4</v>
      </c>
      <c r="E36" t="s">
        <v>108</v>
      </c>
    </row>
    <row r="37" spans="1:5" x14ac:dyDescent="0.25">
      <c r="A37">
        <v>1</v>
      </c>
      <c r="B37" t="s">
        <v>38</v>
      </c>
      <c r="D37" s="3">
        <v>2</v>
      </c>
      <c r="E37" t="s">
        <v>108</v>
      </c>
    </row>
    <row r="38" spans="1:5" x14ac:dyDescent="0.25">
      <c r="A38">
        <v>1</v>
      </c>
      <c r="B38" t="s">
        <v>39</v>
      </c>
      <c r="D38" s="3">
        <v>5</v>
      </c>
      <c r="E38" t="s">
        <v>108</v>
      </c>
    </row>
    <row r="39" spans="1:5" x14ac:dyDescent="0.25">
      <c r="A39">
        <v>1</v>
      </c>
      <c r="B39" t="s">
        <v>40</v>
      </c>
      <c r="D39" s="3">
        <v>1.2</v>
      </c>
      <c r="E39" t="s">
        <v>108</v>
      </c>
    </row>
    <row r="40" spans="1:5" x14ac:dyDescent="0.25">
      <c r="A40" s="4">
        <v>1</v>
      </c>
      <c r="B40" s="4" t="s">
        <v>41</v>
      </c>
      <c r="E40" t="s">
        <v>107</v>
      </c>
    </row>
    <row r="41" spans="1:5" x14ac:dyDescent="0.25">
      <c r="A41" s="4">
        <v>1</v>
      </c>
      <c r="B41" s="4" t="s">
        <v>42</v>
      </c>
      <c r="C41" s="11" t="s">
        <v>41</v>
      </c>
      <c r="D41" s="6">
        <v>1</v>
      </c>
      <c r="E41" t="s">
        <v>107</v>
      </c>
    </row>
    <row r="42" spans="1:5" x14ac:dyDescent="0.25">
      <c r="A42" s="4">
        <v>1</v>
      </c>
      <c r="B42" s="4" t="s">
        <v>43</v>
      </c>
      <c r="C42" s="11" t="s">
        <v>41</v>
      </c>
      <c r="D42" s="6">
        <v>1</v>
      </c>
      <c r="E42" t="s">
        <v>107</v>
      </c>
    </row>
    <row r="43" spans="1:5" x14ac:dyDescent="0.25">
      <c r="A43" s="4">
        <v>1</v>
      </c>
      <c r="B43" s="4" t="s">
        <v>44</v>
      </c>
      <c r="C43" s="11" t="s">
        <v>41</v>
      </c>
      <c r="D43" s="6">
        <v>1</v>
      </c>
      <c r="E43" t="s">
        <v>107</v>
      </c>
    </row>
    <row r="44" spans="1:5" x14ac:dyDescent="0.25">
      <c r="A44" s="4">
        <v>1</v>
      </c>
      <c r="B44" s="4" t="s">
        <v>45</v>
      </c>
      <c r="C44" s="11" t="s">
        <v>41</v>
      </c>
      <c r="D44" s="6">
        <v>1</v>
      </c>
      <c r="E44" t="s">
        <v>107</v>
      </c>
    </row>
    <row r="45" spans="1:5" x14ac:dyDescent="0.25">
      <c r="A45" s="4">
        <v>1</v>
      </c>
      <c r="B45" s="4" t="s">
        <v>46</v>
      </c>
      <c r="C45" s="11" t="s">
        <v>41</v>
      </c>
      <c r="D45" s="6"/>
      <c r="E45" t="s">
        <v>107</v>
      </c>
    </row>
    <row r="46" spans="1:5" x14ac:dyDescent="0.25">
      <c r="A46" s="4">
        <v>1</v>
      </c>
      <c r="B46" s="4" t="s">
        <v>47</v>
      </c>
      <c r="C46" s="11" t="s">
        <v>41</v>
      </c>
      <c r="D46" s="6"/>
      <c r="E46" t="s">
        <v>107</v>
      </c>
    </row>
    <row r="47" spans="1:5" x14ac:dyDescent="0.25">
      <c r="A47" s="4">
        <v>2</v>
      </c>
      <c r="B47" s="4" t="s">
        <v>48</v>
      </c>
      <c r="C47" s="11" t="s">
        <v>41</v>
      </c>
      <c r="D47" s="6"/>
      <c r="E47" t="s">
        <v>107</v>
      </c>
    </row>
    <row r="48" spans="1:5" x14ac:dyDescent="0.25">
      <c r="A48" s="4">
        <v>4</v>
      </c>
      <c r="B48" s="4" t="s">
        <v>49</v>
      </c>
      <c r="C48" s="11" t="s">
        <v>41</v>
      </c>
      <c r="D48" s="6"/>
      <c r="E48" t="s">
        <v>107</v>
      </c>
    </row>
    <row r="49" spans="1:5" x14ac:dyDescent="0.25">
      <c r="A49" s="4">
        <v>2</v>
      </c>
      <c r="B49" s="4" t="s">
        <v>50</v>
      </c>
      <c r="C49" s="11" t="s">
        <v>41</v>
      </c>
      <c r="D49" s="6"/>
      <c r="E49" t="s">
        <v>107</v>
      </c>
    </row>
    <row r="50" spans="1:5" x14ac:dyDescent="0.25">
      <c r="A50" s="4">
        <v>1</v>
      </c>
      <c r="B50" s="4" t="s">
        <v>51</v>
      </c>
      <c r="C50" s="11" t="s">
        <v>41</v>
      </c>
      <c r="D50" s="6">
        <v>2</v>
      </c>
      <c r="E50" t="s">
        <v>107</v>
      </c>
    </row>
    <row r="51" spans="1:5" x14ac:dyDescent="0.25">
      <c r="A51" s="4">
        <v>2</v>
      </c>
      <c r="B51" s="4" t="s">
        <v>52</v>
      </c>
      <c r="C51" s="11" t="s">
        <v>41</v>
      </c>
      <c r="D51" s="6">
        <v>0.45</v>
      </c>
      <c r="E51" t="s">
        <v>107</v>
      </c>
    </row>
    <row r="52" spans="1:5" x14ac:dyDescent="0.25">
      <c r="A52" s="4">
        <v>2</v>
      </c>
      <c r="B52" s="4" t="s">
        <v>53</v>
      </c>
      <c r="C52" s="11" t="s">
        <v>41</v>
      </c>
      <c r="D52" s="6">
        <v>0.5</v>
      </c>
      <c r="E52" t="s">
        <v>107</v>
      </c>
    </row>
    <row r="53" spans="1:5" x14ac:dyDescent="0.25">
      <c r="A53" s="4">
        <v>1</v>
      </c>
      <c r="B53" s="4" t="s">
        <v>54</v>
      </c>
      <c r="C53" s="11" t="s">
        <v>41</v>
      </c>
      <c r="D53" s="6">
        <v>1</v>
      </c>
      <c r="E53" t="s">
        <v>107</v>
      </c>
    </row>
    <row r="54" spans="1:5" x14ac:dyDescent="0.25">
      <c r="A54" s="4">
        <v>1</v>
      </c>
      <c r="B54" s="4" t="s">
        <v>53</v>
      </c>
      <c r="C54" s="11" t="s">
        <v>41</v>
      </c>
      <c r="D54" s="6">
        <v>0.5</v>
      </c>
      <c r="E54" t="s">
        <v>107</v>
      </c>
    </row>
    <row r="55" spans="1:5" x14ac:dyDescent="0.25">
      <c r="A55" s="4">
        <v>2</v>
      </c>
      <c r="B55" s="4" t="s">
        <v>55</v>
      </c>
      <c r="C55" s="11" t="s">
        <v>41</v>
      </c>
      <c r="D55" s="6"/>
      <c r="E55" t="s">
        <v>107</v>
      </c>
    </row>
    <row r="56" spans="1:5" x14ac:dyDescent="0.25">
      <c r="A56" s="4">
        <v>6</v>
      </c>
      <c r="B56" s="4" t="s">
        <v>56</v>
      </c>
      <c r="C56" s="11" t="s">
        <v>41</v>
      </c>
      <c r="D56" s="6"/>
      <c r="E56" t="s">
        <v>107</v>
      </c>
    </row>
    <row r="57" spans="1:5" x14ac:dyDescent="0.25">
      <c r="A57" s="7">
        <v>1</v>
      </c>
      <c r="B57" s="7" t="s">
        <v>57</v>
      </c>
      <c r="D57" s="8"/>
      <c r="E57" t="s">
        <v>108</v>
      </c>
    </row>
    <row r="58" spans="1:5" x14ac:dyDescent="0.25">
      <c r="A58" s="7">
        <v>1</v>
      </c>
      <c r="B58" s="7" t="s">
        <v>58</v>
      </c>
      <c r="C58" s="11" t="s">
        <v>57</v>
      </c>
      <c r="D58" s="8"/>
      <c r="E58" t="s">
        <v>108</v>
      </c>
    </row>
    <row r="59" spans="1:5" x14ac:dyDescent="0.25">
      <c r="A59" s="7">
        <v>6</v>
      </c>
      <c r="B59" s="7" t="s">
        <v>59</v>
      </c>
      <c r="C59" s="11" t="s">
        <v>57</v>
      </c>
      <c r="D59" s="8">
        <v>0.3</v>
      </c>
      <c r="E59" t="s">
        <v>108</v>
      </c>
    </row>
    <row r="60" spans="1:5" x14ac:dyDescent="0.25">
      <c r="A60" s="7">
        <v>6</v>
      </c>
      <c r="B60" s="7" t="s">
        <v>60</v>
      </c>
      <c r="C60" s="11" t="s">
        <v>57</v>
      </c>
      <c r="D60" s="8">
        <v>0.2</v>
      </c>
      <c r="E60" t="s">
        <v>108</v>
      </c>
    </row>
    <row r="61" spans="1:5" x14ac:dyDescent="0.25">
      <c r="A61">
        <v>1</v>
      </c>
      <c r="B61" t="s">
        <v>61</v>
      </c>
      <c r="D61" s="3"/>
      <c r="E61" t="s">
        <v>107</v>
      </c>
    </row>
    <row r="62" spans="1:5" x14ac:dyDescent="0.25">
      <c r="A62">
        <v>1</v>
      </c>
      <c r="B62" t="s">
        <v>62</v>
      </c>
      <c r="D62" s="3"/>
      <c r="E62" t="s">
        <v>107</v>
      </c>
    </row>
    <row r="63" spans="1:5" x14ac:dyDescent="0.25">
      <c r="A63">
        <v>1</v>
      </c>
      <c r="B63" t="s">
        <v>63</v>
      </c>
      <c r="D63" s="3"/>
      <c r="E63" t="s">
        <v>107</v>
      </c>
    </row>
    <row r="64" spans="1:5" x14ac:dyDescent="0.25">
      <c r="A64" s="7">
        <v>1</v>
      </c>
      <c r="B64" s="7" t="s">
        <v>64</v>
      </c>
      <c r="D64" s="8">
        <v>16</v>
      </c>
      <c r="E64" t="s">
        <v>108</v>
      </c>
    </row>
    <row r="65" spans="1:5" x14ac:dyDescent="0.25">
      <c r="A65">
        <v>1</v>
      </c>
      <c r="B65" t="s">
        <v>65</v>
      </c>
      <c r="D65" s="3">
        <v>4</v>
      </c>
      <c r="E65" t="s">
        <v>108</v>
      </c>
    </row>
    <row r="66" spans="1:5" x14ac:dyDescent="0.25">
      <c r="A66">
        <v>4</v>
      </c>
      <c r="B66" t="s">
        <v>66</v>
      </c>
      <c r="D66" s="3">
        <v>2</v>
      </c>
      <c r="E66" t="s">
        <v>108</v>
      </c>
    </row>
    <row r="67" spans="1:5" x14ac:dyDescent="0.25">
      <c r="A67">
        <v>8</v>
      </c>
      <c r="B67" t="s">
        <v>67</v>
      </c>
      <c r="D67" s="3">
        <v>4</v>
      </c>
      <c r="E67" t="s">
        <v>108</v>
      </c>
    </row>
    <row r="68" spans="1:5" x14ac:dyDescent="0.25">
      <c r="A68">
        <v>24</v>
      </c>
      <c r="B68" t="s">
        <v>68</v>
      </c>
      <c r="D68" s="3"/>
      <c r="E68" t="s">
        <v>108</v>
      </c>
    </row>
    <row r="69" spans="1:5" x14ac:dyDescent="0.25">
      <c r="A69">
        <v>12</v>
      </c>
      <c r="B69" t="s">
        <v>69</v>
      </c>
      <c r="D69" s="3">
        <v>2</v>
      </c>
      <c r="E69" t="s">
        <v>108</v>
      </c>
    </row>
    <row r="70" spans="1:5" x14ac:dyDescent="0.25">
      <c r="A70">
        <v>3</v>
      </c>
      <c r="B70" t="s">
        <v>70</v>
      </c>
      <c r="D70" s="3">
        <v>4</v>
      </c>
      <c r="E70" t="s">
        <v>108</v>
      </c>
    </row>
    <row r="71" spans="1:5" x14ac:dyDescent="0.25">
      <c r="A71">
        <v>1</v>
      </c>
      <c r="B71" t="s">
        <v>71</v>
      </c>
      <c r="D71" s="3">
        <v>4</v>
      </c>
      <c r="E71" t="s">
        <v>108</v>
      </c>
    </row>
    <row r="72" spans="1:5" x14ac:dyDescent="0.25">
      <c r="A72">
        <v>1</v>
      </c>
      <c r="B72" t="s">
        <v>72</v>
      </c>
      <c r="D72" s="3">
        <v>4</v>
      </c>
      <c r="E72" t="s">
        <v>108</v>
      </c>
    </row>
    <row r="73" spans="1:5" x14ac:dyDescent="0.25">
      <c r="A73">
        <v>1</v>
      </c>
      <c r="B73" t="s">
        <v>73</v>
      </c>
      <c r="D73" s="3">
        <v>4</v>
      </c>
      <c r="E73" t="s">
        <v>108</v>
      </c>
    </row>
    <row r="74" spans="1:5" x14ac:dyDescent="0.25">
      <c r="A74">
        <v>1</v>
      </c>
      <c r="B74" t="s">
        <v>74</v>
      </c>
      <c r="D74" s="3">
        <v>4</v>
      </c>
      <c r="E74" t="s">
        <v>108</v>
      </c>
    </row>
    <row r="75" spans="1:5" x14ac:dyDescent="0.25">
      <c r="A75">
        <v>1</v>
      </c>
      <c r="B75" t="s">
        <v>75</v>
      </c>
      <c r="D75" s="3">
        <v>4</v>
      </c>
      <c r="E75" t="s">
        <v>108</v>
      </c>
    </row>
    <row r="76" spans="1:5" x14ac:dyDescent="0.25">
      <c r="A76">
        <v>1</v>
      </c>
      <c r="B76" t="s">
        <v>76</v>
      </c>
      <c r="D76" s="3">
        <v>4</v>
      </c>
      <c r="E76" t="s">
        <v>108</v>
      </c>
    </row>
    <row r="77" spans="1:5" x14ac:dyDescent="0.25">
      <c r="A77" s="4">
        <v>1</v>
      </c>
      <c r="B77" s="4" t="s">
        <v>77</v>
      </c>
      <c r="C77" s="11" t="s">
        <v>77</v>
      </c>
      <c r="D77" s="5">
        <v>3</v>
      </c>
      <c r="E77" t="s">
        <v>108</v>
      </c>
    </row>
    <row r="78" spans="1:5" x14ac:dyDescent="0.25">
      <c r="A78" s="4">
        <v>1</v>
      </c>
      <c r="B78" s="4" t="s">
        <v>78</v>
      </c>
      <c r="C78" s="11" t="s">
        <v>77</v>
      </c>
      <c r="D78" s="5">
        <v>3</v>
      </c>
      <c r="E78" t="s">
        <v>107</v>
      </c>
    </row>
    <row r="79" spans="1:5" x14ac:dyDescent="0.25">
      <c r="A79" s="4">
        <v>1</v>
      </c>
      <c r="B79" s="4" t="s">
        <v>79</v>
      </c>
      <c r="C79" s="11" t="s">
        <v>77</v>
      </c>
      <c r="D79" s="5">
        <v>3</v>
      </c>
      <c r="E79" t="s">
        <v>107</v>
      </c>
    </row>
    <row r="80" spans="1:5" x14ac:dyDescent="0.25">
      <c r="A80" s="4">
        <v>2</v>
      </c>
      <c r="B80" s="4" t="s">
        <v>80</v>
      </c>
      <c r="C80" s="11" t="s">
        <v>77</v>
      </c>
      <c r="D80" s="5">
        <v>2</v>
      </c>
      <c r="E80" t="s">
        <v>108</v>
      </c>
    </row>
    <row r="81" spans="1:5" x14ac:dyDescent="0.25">
      <c r="A81" s="4">
        <v>1</v>
      </c>
      <c r="B81" s="4" t="s">
        <v>81</v>
      </c>
      <c r="C81" s="11" t="s">
        <v>77</v>
      </c>
      <c r="D81" s="5">
        <v>1</v>
      </c>
      <c r="E81" t="s">
        <v>108</v>
      </c>
    </row>
    <row r="82" spans="1:5" x14ac:dyDescent="0.25">
      <c r="A82" s="4">
        <v>2</v>
      </c>
      <c r="B82" s="4" t="s">
        <v>82</v>
      </c>
      <c r="C82" s="11" t="s">
        <v>77</v>
      </c>
      <c r="D82" s="5">
        <v>1</v>
      </c>
      <c r="E82" t="s">
        <v>108</v>
      </c>
    </row>
    <row r="83" spans="1:5" x14ac:dyDescent="0.25">
      <c r="A83" s="4">
        <v>1</v>
      </c>
      <c r="B83" s="4" t="s">
        <v>83</v>
      </c>
      <c r="C83" s="11" t="s">
        <v>77</v>
      </c>
      <c r="D83" s="5">
        <v>1</v>
      </c>
      <c r="E83" t="s">
        <v>108</v>
      </c>
    </row>
    <row r="84" spans="1:5" x14ac:dyDescent="0.25">
      <c r="A84" s="4">
        <v>1</v>
      </c>
      <c r="B84" s="4" t="s">
        <v>84</v>
      </c>
      <c r="C84" s="11" t="s">
        <v>77</v>
      </c>
      <c r="D84" s="5">
        <v>1</v>
      </c>
      <c r="E84" t="s">
        <v>108</v>
      </c>
    </row>
    <row r="85" spans="1:5" x14ac:dyDescent="0.25">
      <c r="A85" s="4">
        <v>1</v>
      </c>
      <c r="B85" s="4" t="s">
        <v>85</v>
      </c>
      <c r="C85" s="11" t="s">
        <v>77</v>
      </c>
      <c r="D85" s="5">
        <v>1</v>
      </c>
      <c r="E85" t="s">
        <v>108</v>
      </c>
    </row>
    <row r="86" spans="1:5" x14ac:dyDescent="0.25">
      <c r="A86" s="7">
        <v>1</v>
      </c>
      <c r="B86" s="7" t="s">
        <v>86</v>
      </c>
      <c r="D86" s="8"/>
      <c r="E86" t="s">
        <v>108</v>
      </c>
    </row>
    <row r="87" spans="1:5" x14ac:dyDescent="0.25">
      <c r="A87" s="7">
        <v>1</v>
      </c>
      <c r="B87" s="7" t="s">
        <v>87</v>
      </c>
      <c r="C87" s="11" t="s">
        <v>86</v>
      </c>
      <c r="D87" s="8">
        <v>1.2</v>
      </c>
      <c r="E87" t="s">
        <v>108</v>
      </c>
    </row>
    <row r="88" spans="1:5" x14ac:dyDescent="0.25">
      <c r="A88" s="7">
        <v>1</v>
      </c>
      <c r="B88" s="7" t="s">
        <v>88</v>
      </c>
      <c r="C88" s="11" t="s">
        <v>86</v>
      </c>
      <c r="D88" s="8">
        <v>1.2</v>
      </c>
      <c r="E88" t="s">
        <v>108</v>
      </c>
    </row>
    <row r="89" spans="1:5" x14ac:dyDescent="0.25">
      <c r="A89" s="7">
        <v>1</v>
      </c>
      <c r="B89" s="7" t="s">
        <v>89</v>
      </c>
      <c r="C89" s="11" t="s">
        <v>86</v>
      </c>
      <c r="D89" s="8">
        <v>0.5</v>
      </c>
      <c r="E89" t="s">
        <v>108</v>
      </c>
    </row>
    <row r="90" spans="1:5" x14ac:dyDescent="0.25">
      <c r="A90" s="7">
        <v>1</v>
      </c>
      <c r="B90" s="7" t="s">
        <v>90</v>
      </c>
      <c r="C90" s="11" t="s">
        <v>86</v>
      </c>
      <c r="D90" s="8">
        <v>1</v>
      </c>
      <c r="E90" t="s">
        <v>108</v>
      </c>
    </row>
    <row r="91" spans="1:5" x14ac:dyDescent="0.25">
      <c r="A91" s="7">
        <v>1</v>
      </c>
      <c r="B91" s="7" t="s">
        <v>91</v>
      </c>
      <c r="C91" s="11" t="s">
        <v>86</v>
      </c>
      <c r="D91" s="8">
        <v>0.5</v>
      </c>
      <c r="E91" t="s">
        <v>108</v>
      </c>
    </row>
    <row r="92" spans="1:5" x14ac:dyDescent="0.25">
      <c r="A92" s="7">
        <v>1</v>
      </c>
      <c r="B92" s="7" t="s">
        <v>92</v>
      </c>
      <c r="C92" s="11" t="s">
        <v>86</v>
      </c>
      <c r="D92" s="8">
        <v>0.5</v>
      </c>
      <c r="E92" t="s">
        <v>108</v>
      </c>
    </row>
    <row r="93" spans="1:5" x14ac:dyDescent="0.25">
      <c r="A93" s="7">
        <v>1</v>
      </c>
      <c r="B93" s="7" t="s">
        <v>93</v>
      </c>
      <c r="C93" s="11" t="s">
        <v>86</v>
      </c>
      <c r="D93" s="8">
        <v>1.5</v>
      </c>
      <c r="E93" t="s">
        <v>108</v>
      </c>
    </row>
    <row r="94" spans="1:5" x14ac:dyDescent="0.25">
      <c r="A94" s="7">
        <v>1</v>
      </c>
      <c r="B94" s="7" t="s">
        <v>94</v>
      </c>
      <c r="C94" s="11" t="s">
        <v>86</v>
      </c>
      <c r="D94" s="8">
        <v>0.5</v>
      </c>
      <c r="E94" t="s">
        <v>108</v>
      </c>
    </row>
    <row r="95" spans="1:5" x14ac:dyDescent="0.25">
      <c r="A95" s="7">
        <v>1</v>
      </c>
      <c r="B95" s="7" t="s">
        <v>95</v>
      </c>
      <c r="C95" s="11" t="s">
        <v>86</v>
      </c>
      <c r="D95" s="8">
        <v>0.5</v>
      </c>
      <c r="E95" t="s">
        <v>108</v>
      </c>
    </row>
    <row r="96" spans="1:5" x14ac:dyDescent="0.25">
      <c r="A96" s="4">
        <v>1</v>
      </c>
      <c r="B96" s="4" t="s">
        <v>96</v>
      </c>
      <c r="D96" s="5"/>
      <c r="E96" t="s">
        <v>108</v>
      </c>
    </row>
    <row r="97" spans="1:5" x14ac:dyDescent="0.25">
      <c r="A97" s="4">
        <v>1</v>
      </c>
      <c r="B97" s="4" t="s">
        <v>97</v>
      </c>
      <c r="C97" s="11" t="s">
        <v>96</v>
      </c>
      <c r="D97" s="5">
        <v>0.5</v>
      </c>
      <c r="E97" t="s">
        <v>108</v>
      </c>
    </row>
    <row r="98" spans="1:5" x14ac:dyDescent="0.25">
      <c r="A98" s="4">
        <v>2</v>
      </c>
      <c r="B98" s="4" t="s">
        <v>98</v>
      </c>
      <c r="C98" s="11" t="s">
        <v>96</v>
      </c>
      <c r="D98" s="5">
        <v>0.5</v>
      </c>
      <c r="E98" t="s">
        <v>108</v>
      </c>
    </row>
    <row r="99" spans="1:5" x14ac:dyDescent="0.25">
      <c r="A99" s="4">
        <v>1</v>
      </c>
      <c r="B99" s="4" t="s">
        <v>99</v>
      </c>
      <c r="C99" s="11" t="s">
        <v>96</v>
      </c>
      <c r="D99" s="5">
        <v>0.5</v>
      </c>
      <c r="E99" t="s">
        <v>108</v>
      </c>
    </row>
    <row r="100" spans="1:5" x14ac:dyDescent="0.25">
      <c r="A100" s="4">
        <v>1</v>
      </c>
      <c r="B100" s="4" t="s">
        <v>100</v>
      </c>
      <c r="C100" s="11" t="s">
        <v>96</v>
      </c>
      <c r="D100" s="5">
        <v>0.5</v>
      </c>
      <c r="E100" t="s">
        <v>108</v>
      </c>
    </row>
    <row r="101" spans="1:5" x14ac:dyDescent="0.25">
      <c r="A101" s="4">
        <v>2</v>
      </c>
      <c r="B101" s="4" t="s">
        <v>101</v>
      </c>
      <c r="C101" s="11" t="s">
        <v>96</v>
      </c>
      <c r="D101" s="5">
        <v>0.5</v>
      </c>
      <c r="E101" t="s">
        <v>108</v>
      </c>
    </row>
    <row r="102" spans="1:5" x14ac:dyDescent="0.25">
      <c r="A102" s="4">
        <v>1</v>
      </c>
      <c r="B102" s="4" t="s">
        <v>102</v>
      </c>
      <c r="C102" s="11" t="s">
        <v>96</v>
      </c>
      <c r="D102" s="5">
        <v>0.5</v>
      </c>
      <c r="E102" t="s">
        <v>108</v>
      </c>
    </row>
    <row r="103" spans="1:5" x14ac:dyDescent="0.25">
      <c r="A103" s="4">
        <v>1</v>
      </c>
      <c r="B103" s="4" t="s">
        <v>103</v>
      </c>
      <c r="C103" s="11" t="s">
        <v>96</v>
      </c>
      <c r="D103" s="5">
        <v>1</v>
      </c>
      <c r="E103" t="s">
        <v>108</v>
      </c>
    </row>
    <row r="104" spans="1:5" x14ac:dyDescent="0.25">
      <c r="A104" s="4">
        <v>1</v>
      </c>
      <c r="B104" s="4" t="s">
        <v>104</v>
      </c>
      <c r="C104" s="11" t="s">
        <v>96</v>
      </c>
      <c r="D104" s="9">
        <v>0.5</v>
      </c>
      <c r="E104" t="s">
        <v>108</v>
      </c>
    </row>
    <row r="105" spans="1:5" x14ac:dyDescent="0.25">
      <c r="A105" s="7">
        <v>1</v>
      </c>
      <c r="B105" s="7" t="s">
        <v>105</v>
      </c>
      <c r="D105" s="8">
        <f t="shared" ref="D105" si="0">SUM(D106:D116)</f>
        <v>0</v>
      </c>
      <c r="E105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2026-03-20T12:39:04Z</dcterms:created>
  <dcterms:modified xsi:type="dcterms:W3CDTF">2026-03-23T09:01:05Z</dcterms:modified>
</cp:coreProperties>
</file>